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ssets" sheetId="1" r:id="rId4"/>
    <sheet state="hidden" name="Bases" sheetId="2" r:id="rId5"/>
    <sheet state="hidden" name="Cálculos" sheetId="3" r:id="rId6"/>
    <sheet state="visible" name="Dashboard" sheetId="4" r:id="rId7"/>
  </sheets>
  <definedNames>
    <definedName hidden="1" localSheetId="1" name="Z_44AFE514_7B1D_447C_94E3_49A5170FE74C_.wvu.FilterData">Bases!$A$1:$M$296</definedName>
  </definedNames>
  <calcPr/>
  <customWorkbookViews>
    <customWorkbookView activeSheetId="0" maximized="1" windowHeight="0" windowWidth="0" guid="{44AFE514-7B1D-447C-94E3-49A5170FE74C}" name="Tabela1 filter view"/>
  </customWorkbookViews>
  <pivotCaches>
    <pivotCache cacheId="0" r:id="rId8"/>
  </pivotCaches>
  <extLst>
    <ext uri="GoogleSheetsCustomDataVersion2">
      <go:sheetsCustomData xmlns:go="http://customooxmlschemas.google.com/" r:id="rId9" roundtripDataChecksum="JjYHR82xRqnjgIuH10Hrt6sbzB9gT4kK6vAdfGw/+8Q="/>
    </ext>
  </extLst>
</workbook>
</file>

<file path=xl/sharedStrings.xml><?xml version="1.0" encoding="utf-8"?>
<sst xmlns="http://schemas.openxmlformats.org/spreadsheetml/2006/main" count="2053" uniqueCount="325">
  <si>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</si>
  <si>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</si>
  <si>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</si>
  <si>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</si>
  <si>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</si>
  <si>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</si>
  <si>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</si>
  <si>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</si>
  <si>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</si>
  <si>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</si>
  <si>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</si>
  <si>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</si>
  <si>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</si>
  <si>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</si>
  <si>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</si>
  <si>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</si>
  <si>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</si>
  <si>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</si>
  <si>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</si>
  <si>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</si>
  <si>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</si>
  <si>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</si>
  <si>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</si>
  <si>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</si>
  <si>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</si>
  <si>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</si>
  <si>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</si>
  <si>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</si>
  <si>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</si>
  <si>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</si>
  <si>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</si>
  <si>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</si>
  <si>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</si>
  <si>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</si>
  <si>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</si>
  <si>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</si>
  <si>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</si>
  <si>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</si>
  <si>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</si>
  <si>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</si>
  <si>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</si>
  <si>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</si>
  <si>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</si>
  <si>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</si>
  <si>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</si>
  <si>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</si>
  <si>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</si>
  <si>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</si>
  <si>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</si>
  <si>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</si>
  <si>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</si>
  <si>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</si>
  <si>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</si>
  <si>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</si>
  <si>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</si>
  <si>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</si>
  <si>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</si>
  <si>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</si>
  <si>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</si>
  <si>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</si>
  <si>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</si>
  <si>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</si>
  <si>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</si>
  <si>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</si>
  <si>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</si>
  <si>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</si>
  <si>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</si>
  <si>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</si>
  <si>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</si>
  <si>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</si>
  <si>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</si>
  <si>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</si>
  <si>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</si>
  <si>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</si>
  <si>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</si>
  <si>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</si>
  <si>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</si>
  <si>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</si>
  <si>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</si>
  <si>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</si>
  <si>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</si>
  <si>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</si>
  <si>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</si>
  <si>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</si>
  <si>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</si>
  <si>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</si>
  <si>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</si>
  <si>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</si>
  <si>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</si>
  <si>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</si>
  <si>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</si>
  <si>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</si>
  <si>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</si>
  <si>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</si>
  <si>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</si>
  <si>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</si>
  <si>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</si>
  <si>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</si>
  <si>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</si>
  <si>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</si>
  <si>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</si>
  <si>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</si>
  <si>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</si>
  <si>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</si>
  <si>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</si>
  <si>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</si>
  <si>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</si>
  <si>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</si>
  <si>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</si>
  <si>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</si>
  <si>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</si>
  <si>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</si>
  <si>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</si>
  <si>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</si>
  <si>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</si>
  <si>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</si>
  <si>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</si>
  <si>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</si>
  <si>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</si>
  <si>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</si>
  <si>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</si>
  <si>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</si>
  <si>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</si>
  <si>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</si>
  <si>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</si>
  <si>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</si>
  <si>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</si>
  <si>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</si>
  <si>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</si>
  <si>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</si>
  <si>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</si>
  <si>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</si>
  <si>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</si>
  <si>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</si>
  <si>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</si>
  <si>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</si>
  <si>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</si>
  <si>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</si>
  <si>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</si>
  <si>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</si>
  <si>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</si>
  <si>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</si>
  <si>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</si>
  <si>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</si>
  <si>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</si>
  <si>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</si>
  <si>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</si>
  <si>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</si>
  <si>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</si>
  <si>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</si>
  <si>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</si>
  <si>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</si>
  <si>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</si>
  <si>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</si>
  <si>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</si>
  <si>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</si>
  <si>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</si>
  <si>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</si>
  <si>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</si>
  <si>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</si>
  <si>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</si>
  <si>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</si>
  <si>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</si>
  <si>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</si>
  <si>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</si>
  <si>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</si>
  <si>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</si>
  <si>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</si>
  <si>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</si>
  <si>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</si>
  <si>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</si>
  <si>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</si>
  <si>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</si>
  <si>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</si>
  <si>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</si>
  <si>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</si>
  <si>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</si>
  <si>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</si>
  <si>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</si>
  <si>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</si>
  <si>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</si>
  <si>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</si>
  <si>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</si>
  <si>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</si>
  <si>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</si>
  <si>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</si>
  <si>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</si>
  <si>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</si>
  <si>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</si>
  <si>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</si>
  <si>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</si>
  <si>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</si>
  <si>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</si>
  <si>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</si>
  <si>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</si>
  <si>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</si>
  <si>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</si>
  <si>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</si>
  <si>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</si>
  <si>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</si>
  <si>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</si>
  <si>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</si>
  <si>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</si>
  <si>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</si>
  <si>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</si>
  <si>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</si>
  <si>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</si>
  <si>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</si>
  <si>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</si>
  <si>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</si>
  <si>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</si>
  <si>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</si>
  <si>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</si>
  <si>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</si>
  <si>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</si>
  <si>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</si>
  <si>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</si>
  <si>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</si>
  <si>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</si>
  <si>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</si>
  <si>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</si>
  <si>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</si>
  <si>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</si>
  <si>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</si>
  <si>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</si>
  <si>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</si>
  <si>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</si>
  <si>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</si>
  <si>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</si>
  <si>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</si>
  <si>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</si>
  <si>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</si>
  <si>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</si>
  <si>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</si>
  <si>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</si>
  <si>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</si>
  <si>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</si>
  <si>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</si>
  <si>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</si>
  <si>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</si>
  <si>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</si>
  <si>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</si>
  <si>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</si>
  <si>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</si>
  <si>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</si>
  <si>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</si>
  <si>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</si>
  <si>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</si>
  <si>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</si>
  <si>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</si>
  <si>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</si>
  <si>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</si>
  <si>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</si>
  <si>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</si>
  <si>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</si>
  <si>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</si>
  <si>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</si>
  <si>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</si>
  <si>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</si>
  <si>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</si>
  <si>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</si>
  <si>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</si>
  <si>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</si>
  <si>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</si>
  <si>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</si>
  <si>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</si>
  <si>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</si>
  <si>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</si>
  <si>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</si>
  <si>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</si>
  <si>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</si>
  <si>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</si>
  <si>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</si>
  <si>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</si>
  <si>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</si>
  <si>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</si>
  <si>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</si>
  <si>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</si>
  <si>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</si>
  <si>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</si>
  <si>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</si>
  <si>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</si>
  <si>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</si>
  <si>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</si>
  <si>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</si>
  <si>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</si>
  <si>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</si>
  <si>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</si>
  <si>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</si>
  <si>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</si>
  <si>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</si>
  <si>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</si>
  <si>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</si>
  <si>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</si>
  <si>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</si>
  <si>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</si>
  <si>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</si>
  <si>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</si>
  <si>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</si>
  <si>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</si>
  <si>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</si>
  <si>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</si>
  <si>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</si>
  <si>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</si>
  <si>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</si>
  <si>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</si>
  <si>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</si>
  <si>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</si>
  <si>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</si>
  <si>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</si>
  <si>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</si>
  <si>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</si>
  <si>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</si>
  <si>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Renovação Automática</t>
  </si>
  <si>
    <t>Plano</t>
  </si>
  <si>
    <t>Total geral</t>
  </si>
  <si>
    <t>Assinantes</t>
  </si>
  <si>
    <t>Assinantes (%)</t>
  </si>
  <si>
    <t>Total de Assinantes</t>
  </si>
  <si>
    <t>Taxa Média Geral de Renovação Automática</t>
  </si>
  <si>
    <t>Taxa de Renovação Automática por Plano</t>
  </si>
  <si>
    <r>
      <rPr>
        <rFont val="Times New Roman"/>
        <b/>
        <color theme="1"/>
        <sz val="12.0"/>
      </rPr>
      <t>Pergunta</t>
    </r>
    <r>
      <rPr>
        <rFont val="Times New Roman"/>
        <color theme="1"/>
        <sz val="12.0"/>
      </rPr>
      <t xml:space="preserve">: Qual é a </t>
    </r>
    <r>
      <rPr>
        <rFont val="Times New Roman"/>
        <b/>
        <color theme="1"/>
        <sz val="12.0"/>
      </rPr>
      <t>distribuição de renovação automática</t>
    </r>
    <r>
      <rPr>
        <rFont val="Times New Roman"/>
        <color theme="1"/>
        <sz val="12.0"/>
      </rPr>
      <t xml:space="preserve"> entre os diferentes planos de assinatura (Core, Standard e Ultimate)?</t>
    </r>
  </si>
  <si>
    <t>Taxa Média de Renovação Automática</t>
  </si>
  <si>
    <t>Yes (%)</t>
  </si>
  <si>
    <t>Período de Apuração: 15/10/2026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</si>
</sst>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5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Aptos Narrow"/>
    </font>
    <font>
      <b/>
      <color theme="1"/>
      <name val="Aptos Narrow"/>
      <scheme val="minor"/>
    </font>
    <font>
      <color theme="1"/>
      <name val="Arial"/>
    </font>
    <font>
      <sz val="12.0"/>
      <color theme="1"/>
      <name val="Aptos Narrow"/>
      <scheme val="minor"/>
    </font>
    <font>
      <sz val="22.0"/>
      <color rgb="FF107C10"/>
      <name val="Times New Roman"/>
    </font>
    <font/>
    <font>
      <sz val="12.0"/>
      <color theme="1"/>
      <name val="Times New Roman"/>
    </font>
    <font>
      <b/>
      <sz val="12.0"/>
      <color rgb="FF107C10"/>
      <name val="Times New Roman"/>
    </font>
    <font>
      <b/>
      <sz val="12.0"/>
      <color theme="1"/>
      <name val="Times New Roman"/>
    </font>
    <font>
      <b/>
      <sz val="22.0"/>
      <color rgb="FFFFFFFF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EFEFEF"/>
        <bgColor rgb="FFEFEFEF"/>
      </patternFill>
    </fill>
    <fill>
      <patternFill patternType="solid">
        <fgColor rgb="FF107C10"/>
        <bgColor rgb="FF107C10"/>
      </patternFill>
    </fill>
  </fills>
  <borders count="15">
    <border/>
    <border>
      <bottom style="thick">
        <color theme="4"/>
      </bottom>
    </border>
    <border>
      <left/>
      <right/>
      <top/>
      <bottom/>
    </border>
    <border>
      <bottom style="medium">
        <color rgb="FF107C1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4" numFmtId="0" xfId="0" applyAlignment="1" applyBorder="1" applyFill="1" applyFont="1">
      <alignment readingOrder="0"/>
    </xf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0" xfId="0" applyFont="1" applyNumberFormat="1"/>
    <xf borderId="0" fillId="0" fontId="3" numFmtId="0" xfId="0" applyAlignment="1" applyFont="1">
      <alignment readingOrder="0"/>
    </xf>
    <xf borderId="0" fillId="0" fontId="6" numFmtId="10" xfId="0" applyFont="1" applyNumberFormat="1"/>
    <xf borderId="0" fillId="0" fontId="7" numFmtId="0" xfId="0" applyAlignment="1" applyFont="1">
      <alignment readingOrder="0"/>
    </xf>
    <xf borderId="0" fillId="8" fontId="8" numFmtId="0" xfId="0" applyFill="1" applyFont="1"/>
    <xf borderId="3" fillId="8" fontId="9" numFmtId="0" xfId="0" applyAlignment="1" applyBorder="1" applyFill="1" applyFont="1">
      <alignment horizontal="center" readingOrder="0" shrinkToFit="0" vertical="bottom" wrapText="0"/>
    </xf>
    <xf borderId="3" fillId="0" fontId="10" numFmtId="0" xfId="0" applyBorder="1" applyFont="1"/>
    <xf borderId="0" fillId="8" fontId="3" numFmtId="0" xfId="0" applyFill="1" applyFont="1"/>
    <xf borderId="0" fillId="8" fontId="11" numFmtId="0" xfId="0" applyAlignment="1" applyFill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5" fillId="0" fontId="10" numFmtId="0" xfId="0" applyBorder="1" applyFont="1"/>
    <xf borderId="6" fillId="0" fontId="10" numFmtId="0" xfId="0" applyBorder="1" applyFont="1"/>
    <xf borderId="7" fillId="0" fontId="13" numFmtId="0" xfId="0" applyBorder="1" applyFont="1"/>
    <xf borderId="8" fillId="0" fontId="13" numFmtId="0" xfId="0" applyAlignment="1" applyBorder="1" applyFont="1">
      <alignment vertical="center"/>
    </xf>
    <xf borderId="8" fillId="0" fontId="13" numFmtId="0" xfId="0" applyBorder="1" applyFont="1"/>
    <xf borderId="9" fillId="0" fontId="13" numFmtId="0" xfId="0" applyBorder="1" applyFont="1"/>
    <xf borderId="10" fillId="9" fontId="14" numFmtId="10" xfId="0" applyAlignment="1" applyBorder="1" applyFill="1" applyFont="1" applyNumberFormat="1">
      <alignment horizontal="center" vertical="center"/>
    </xf>
    <xf borderId="11" fillId="0" fontId="10" numFmtId="0" xfId="0" applyBorder="1" applyFont="1"/>
    <xf borderId="10" fillId="0" fontId="13" numFmtId="0" xfId="0" applyBorder="1" applyFont="1"/>
    <xf borderId="0" fillId="9" fontId="13" numFmtId="0" xfId="0" applyAlignment="1" applyFill="1" applyFont="1">
      <alignment horizontal="center"/>
    </xf>
    <xf borderId="11" fillId="9" fontId="13" numFmtId="0" xfId="0" applyAlignment="1" applyBorder="1" applyFill="1" applyFont="1">
      <alignment horizontal="center"/>
    </xf>
    <xf borderId="10" fillId="0" fontId="10" numFmtId="0" xfId="0" applyBorder="1" applyFont="1"/>
    <xf borderId="0" fillId="0" fontId="11" numFmtId="10" xfId="0" applyAlignment="1" applyFont="1" applyNumberFormat="1">
      <alignment horizontal="center"/>
    </xf>
    <xf borderId="11" fillId="0" fontId="11" numFmtId="10" xfId="0" applyAlignment="1" applyBorder="1" applyFont="1" applyNumberFormat="1">
      <alignment horizontal="center"/>
    </xf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2" fillId="0" fontId="11" numFmtId="0" xfId="0" applyBorder="1" applyFont="1"/>
    <xf borderId="13" fillId="0" fontId="11" numFmtId="10" xfId="0" applyAlignment="1" applyBorder="1" applyFont="1" applyNumberFormat="1">
      <alignment horizontal="center"/>
    </xf>
    <xf borderId="14" fillId="0" fontId="11" numFmtId="10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11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8" fillId="9" fontId="13" numFmtId="0" xfId="0" applyAlignment="1" applyBorder="1" applyFill="1" applyFont="1">
      <alignment horizontal="center"/>
    </xf>
    <xf borderId="9" fillId="9" fontId="13" numFmtId="0" xfId="0" applyAlignment="1" applyBorder="1" applyFill="1" applyFont="1">
      <alignment horizontal="center"/>
    </xf>
    <xf borderId="0" fillId="8" fontId="11" numFmtId="0" xfId="0" applyAlignment="1" applyFill="1" applyFont="1">
      <alignment readingOrder="0"/>
    </xf>
    <xf borderId="12" fillId="0" fontId="13" numFmtId="0" xfId="0" applyBorder="1" applyFont="1"/>
    <xf borderId="13" fillId="0" fontId="1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>
    <tableStyle count="4" pivot="0" name="B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'Cálculos'!$B$1:$B$2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'Cálculos'!$A$3:$A$6</c:f>
            </c:strRef>
          </c:cat>
          <c:val>
            <c:numRef>
              <c:f>'Cálculos'!$B$3:$B$6</c:f>
              <c:numCache/>
            </c:numRef>
          </c:val>
        </c:ser>
        <c:ser>
          <c:idx val="1"/>
          <c:order val="1"/>
          <c:tx>
            <c:strRef>
              <c:f>'Cálculos'!$C$1:$C$2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'Cálculos'!$A$3:$A$6</c:f>
            </c:strRef>
          </c:cat>
          <c:val>
            <c:numRef>
              <c:f>'Cálculos'!$C$3:$C$6</c:f>
              <c:numCache/>
            </c:numRef>
          </c:val>
        </c:ser>
        <c:axId val="1596991215"/>
        <c:axId val="1716656442"/>
      </c:barChart>
      <c:catAx>
        <c:axId val="159699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716656442"/>
      </c:catAx>
      <c:valAx>
        <c:axId val="1716656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Times New Roman"/>
              </a:defRPr>
            </a:pPr>
          </a:p>
        </c:txPr>
        <c:crossAx val="1596991215"/>
      </c:valAx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'Cálculos'!$B$1:$B$2</c:f>
            </c:strRef>
          </c:tx>
          <c:spPr>
            <a:solidFill>
              <a:srgbClr val="535FC1"/>
            </a:solidFill>
            <a:ln cmpd="sng">
              <a:noFill/>
            </a:ln>
          </c:spPr>
          <c:invertIfNegative val="0"/>
          <c:cat>
            <c:strRef>
              <c:f>'Cálculos'!$A$3:$A$6</c:f>
            </c:strRef>
          </c:cat>
          <c:val>
            <c:numRef>
              <c:f>'Cálculos'!$B$3:$B$6</c:f>
              <c:numCache/>
            </c:numRef>
          </c:val>
        </c:ser>
        <c:ser>
          <c:idx val="1"/>
          <c:order val="1"/>
          <c:tx>
            <c:strRef>
              <c:f>'Cálculos'!$C$1:$C$2</c:f>
            </c:strRef>
          </c:tx>
          <c:spPr>
            <a:solidFill>
              <a:srgbClr val="107C10"/>
            </a:solidFill>
            <a:ln cmpd="sng">
              <a:noFill/>
            </a:ln>
          </c:spPr>
          <c:invertIfNegative val="0"/>
          <c:cat>
            <c:strRef>
              <c:f>'Cálculos'!$A$3:$A$6</c:f>
            </c:strRef>
          </c:cat>
          <c:val>
            <c:numRef>
              <c:f>'Cálculos'!$C$3:$C$6</c:f>
              <c:numCache/>
            </c:numRef>
          </c:val>
        </c:ser>
        <c:axId val="227925450"/>
        <c:axId val="482212884"/>
      </c:barChart>
      <c:catAx>
        <c:axId val="227925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482212884"/>
      </c:catAx>
      <c:valAx>
        <c:axId val="482212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Times New Roman"/>
              </a:defRPr>
            </a:pPr>
          </a:p>
        </c:txPr>
        <c:crossAx val="227925450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619125</xdr:colOff>
      <xdr:row>0</xdr:row>
      <xdr:rowOff>114300</xdr:rowOff>
    </xdr:from>
    <xdr:ext cx="4124325" cy="2552700"/>
    <xdr:graphicFrame>
      <xdr:nvGraphicFramePr>
        <xdr:cNvPr id="53597700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7</xdr:row>
      <xdr:rowOff>171450</xdr:rowOff>
    </xdr:from>
    <xdr:ext cx="3619500" cy="1638300"/>
    <xdr:graphicFrame>
      <xdr:nvGraphicFramePr>
        <xdr:cNvPr id="188886823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533525" cy="46672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6" sheet="B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álculos" cacheId="0" dataCaption="" compact="0" compactData="0">
  <location ref="A1:D6" firstHeaderRow="0" firstDataRow="1" firstDataCol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o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Renovação Automática" axis="axisCol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4"/>
  </colFields>
  <dataFields>
    <dataField name="Subscriber ID" fld="0" subtotal="countNums" showDataAs="percentOfRow" baseField="0" numFmtId="10"/>
  </dataFields>
</pivotTableDefinition>
</file>

<file path=xl/pivotTables/pivotTable2.xml><?xml version="1.0" encoding="utf-8"?>
<pivotTableDefinition xmlns="http://schemas.openxmlformats.org/spreadsheetml/2006/main" name="Cálculos 2" cacheId="0" dataCaption="" compact="0" compactData="0">
  <location ref="A8:D13" firstHeaderRow="0" firstDataRow="1" firstDataCol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o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Renovação Automática" axis="axisCol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4"/>
  </colFields>
  <dataFields>
    <dataField name="Subscriber ID" fld="0" subtotal="countNums" baseField="0"/>
  </dataFields>
</pivotTableDefinition>
</file>

<file path=xl/pivotTables/pivotTable3.xml><?xml version="1.0" encoding="utf-8"?>
<pivotTableDefinition xmlns="http://schemas.openxmlformats.org/spreadsheetml/2006/main" name="Cálculos 3" cacheId="0" dataCaption="" compact="0" compactData="0">
  <location ref="A17:C21" firstHeaderRow="0" firstDataRow="2" firstDataCol="0" rowPageCount="1" colPageCount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axis="axisPage" compact="0" outline="0" multipleItemSelectionAllowed="1" showAll="0">
      <items>
        <item x="0"/>
        <item h="1"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-2"/>
  </colFields>
  <pageFields>
    <pageField fld="4"/>
  </pageFields>
  <dataFields>
    <dataField name="Assinantes" fld="0" subtotal="countNums" baseField="0"/>
    <dataField name="Assinantes (%)" fld="0" subtotal="countNums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Dashboard" cacheId="0" dataCaption="" compact="0" compactData="0">
  <location ref="G4:J9" firstHeaderRow="0" firstDataRow="1" firstDataCol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o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Renovação Automática" axis="axisCol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4"/>
  </colFields>
  <dataFields>
    <dataField name="Subscriber ID" fld="0" subtotal="countNums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Dashboard 2" cacheId="0" dataCaption="" compact="0" compactData="0">
  <location ref="G11:J16" firstHeaderRow="0" firstDataRow="1" firstDataCol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o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Renovação Automática" axis="axisCol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4"/>
  </colFields>
  <dataFields>
    <dataField name="Subscriber ID" fld="0" subtotal="countNums" baseField="0"/>
  </dataFields>
</pivotTableDefinition>
</file>

<file path=xl/pivotTables/pivotTable6.xml><?xml version="1.0" encoding="utf-8"?>
<pivotTableDefinition xmlns="http://schemas.openxmlformats.org/spreadsheetml/2006/main" name="Dashboard 3" cacheId="0" dataCaption="" compact="0" compactData="0">
  <location ref="G20:I24" firstHeaderRow="0" firstDataRow="2" firstDataCol="0" rowPageCount="1" colPageCount="1"/>
  <pivotFields>
    <pivotField name="Subscrib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o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axis="axisPage" compact="0" outline="0" multipleItemSelectionAllowed="1" showAll="0">
      <items>
        <item x="0"/>
        <item h="1"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colFields>
    <field x="-2"/>
  </colFields>
  <pageFields>
    <pageField fld="4"/>
  </pageFields>
  <dataFields>
    <dataField name="Yes" fld="0" subtotal="countNums" baseField="0"/>
    <dataField name="Yes (%)" fld="0" subtotal="countNums" showDataAs="percentOfTotal" baseField="0" numFmtId="10"/>
  </dataFields>
</pivotTableDefinition>
</file>

<file path=xl/tables/table1.xml><?xml version="1.0" encoding="utf-8"?>
<table xmlns="http://schemas.openxmlformats.org/spreadsheetml/2006/main" ref="A1:M296" displayName="Tabela1" name="Tabela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AFE514-7B1D-447C-94E3-49A5170FE74C}" filter="1" showAutoFilter="1">
      <autoFilter ref="$A$1:$M$296">
        <filterColumn colId="7">
          <filters>
            <filter val="Yes"/>
          </filters>
        </filterColumn>
      </autoFilter>
      <extLst>
        <ext uri="GoogleSheetsCustomDataVersion1">
          <go:sheetsCustomData xmlns:go="http://customooxmlschemas.google.com/" filterViewId="1241789767"/>
        </ext>
      </extLst>
    </customSheetView>
  </customSheetView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/>
    <row r="2"/>
    <row r="3"/>
    <row r="4"/>
    <row r="5"/>
    <row r="6"/>
    <row r="8"/>
    <row r="9"/>
    <row r="10"/>
    <row r="11"/>
    <row r="12"/>
    <row r="13"/>
    <row r="15"/>
    <row r="16"/>
    <row r="17">
      <c r="F17" s="14" t="s">
        <v>318</v>
      </c>
    </row>
    <row r="18">
      <c r="F18" s="3">
        <f>COUNTA(Bases!A2:A296)</f>
        <v>295</v>
      </c>
      <c r="G18" s="3">
        <f>COUNTA(Bases!E2:E296)</f>
        <v>295</v>
      </c>
    </row>
    <row r="19">
      <c r="G19" s="3">
        <f>COUNTIF(Bases!E2:E296, "YES")</f>
        <v>148</v>
      </c>
    </row>
    <row r="20">
      <c r="G20" s="15">
        <f>G19/G18</f>
        <v>0.5016949153</v>
      </c>
    </row>
    <row r="21">
      <c r="G21" s="16" t="s">
        <v>319</v>
      </c>
    </row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8.38"/>
    <col customWidth="1" min="3" max="5" width="12.63"/>
    <col customWidth="1" min="6" max="6" width="3.25"/>
    <col customWidth="1" min="7" max="7" width="16.38"/>
    <col customWidth="1" min="8" max="8" width="12.63"/>
    <col customWidth="1" min="9" max="9" width="13.5"/>
    <col customWidth="1" min="10" max="11" width="12.63"/>
  </cols>
  <sheetData>
    <row r="1" ht="39.0" customHeight="1">
      <c r="A1" s="17"/>
      <c r="C1" s="18" t="s">
        <v>320</v>
      </c>
      <c r="D1" s="19"/>
      <c r="E1" s="19"/>
      <c r="F1" s="19"/>
      <c r="G1" s="19"/>
      <c r="H1" s="19"/>
      <c r="I1" s="20"/>
      <c r="J1" s="20"/>
      <c r="K1" s="20"/>
    </row>
    <row r="2" ht="15.0" customHeight="1">
      <c r="A2" s="20"/>
      <c r="B2" s="20"/>
      <c r="C2" s="21" t="s">
        <v>321</v>
      </c>
      <c r="D2" s="22"/>
      <c r="E2" s="22"/>
      <c r="F2" s="22"/>
      <c r="G2" s="22"/>
      <c r="H2" s="22"/>
      <c r="I2" s="22"/>
      <c r="J2" s="22"/>
      <c r="K2" s="22"/>
    </row>
    <row r="3" ht="15.0" customHeight="1">
      <c r="A3" s="20"/>
      <c r="B3" s="20"/>
      <c r="C3" s="22"/>
      <c r="D3" s="22"/>
      <c r="E3" s="22"/>
      <c r="F3" s="22"/>
      <c r="G3" s="22"/>
      <c r="H3" s="22"/>
      <c r="I3" s="22"/>
      <c r="J3" s="22"/>
      <c r="K3" s="22"/>
    </row>
    <row r="4" ht="15.0" customHeight="1">
      <c r="A4" s="20"/>
      <c r="B4" s="20"/>
      <c r="C4" s="23" t="s">
        <v>322</v>
      </c>
      <c r="D4" s="24"/>
      <c r="E4" s="25"/>
      <c r="F4" s="20"/>
      <c r="K4" s="20"/>
    </row>
    <row r="5" ht="15.0" customHeight="1">
      <c r="A5" s="20"/>
      <c r="B5" s="20"/>
      <c r="C5" s="30">
        <f>'Cálculos'!G20</f>
        <v>0.5016949153</v>
      </c>
      <c r="E5" s="31"/>
      <c r="F5" s="20"/>
      <c r="K5" s="20"/>
    </row>
    <row r="6" ht="15.0" customHeight="1">
      <c r="A6" s="20"/>
      <c r="B6" s="20"/>
      <c r="C6" s="35"/>
      <c r="E6" s="31"/>
      <c r="F6" s="20"/>
      <c r="K6" s="20"/>
    </row>
    <row r="7" ht="15.0" customHeight="1">
      <c r="A7" s="20"/>
      <c r="B7" s="20"/>
      <c r="C7" s="38"/>
      <c r="D7" s="39"/>
      <c r="E7" s="40"/>
      <c r="F7" s="20"/>
      <c r="K7" s="20"/>
    </row>
    <row r="8" ht="15.0" customHeight="1">
      <c r="A8" s="20"/>
      <c r="B8" s="20"/>
      <c r="C8" s="20"/>
      <c r="D8" s="20"/>
      <c r="E8" s="20"/>
      <c r="F8" s="20"/>
      <c r="K8" s="20"/>
    </row>
    <row r="9" ht="15.0" customHeight="1">
      <c r="A9" s="20"/>
      <c r="B9" s="20"/>
      <c r="C9" s="20"/>
      <c r="D9" s="20"/>
      <c r="E9" s="20"/>
      <c r="F9" s="20"/>
      <c r="K9" s="20"/>
    </row>
    <row r="10" ht="15.0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15.0" customHeight="1">
      <c r="A11" s="20"/>
      <c r="B11" s="20"/>
      <c r="C11" s="20"/>
      <c r="D11" s="20"/>
      <c r="E11" s="20"/>
      <c r="F11" s="20"/>
      <c r="K11" s="20"/>
    </row>
    <row r="12" ht="15.0" customHeight="1">
      <c r="A12" s="20"/>
      <c r="B12" s="20"/>
      <c r="C12" s="20"/>
      <c r="D12" s="20"/>
      <c r="E12" s="20"/>
      <c r="F12" s="20"/>
      <c r="K12" s="20"/>
    </row>
    <row r="13" ht="15.0" customHeight="1">
      <c r="A13" s="20"/>
      <c r="B13" s="20"/>
      <c r="C13" s="20"/>
      <c r="D13" s="20"/>
      <c r="E13" s="20"/>
      <c r="F13" s="20"/>
      <c r="K13" s="20"/>
    </row>
    <row r="14" ht="15.0" customHeight="1">
      <c r="A14" s="20"/>
      <c r="B14" s="20"/>
      <c r="C14" s="20"/>
      <c r="D14" s="20"/>
      <c r="E14" s="20"/>
      <c r="F14" s="20"/>
      <c r="K14" s="20"/>
    </row>
    <row r="15" ht="15.0" customHeight="1">
      <c r="A15" s="20"/>
      <c r="B15" s="20"/>
      <c r="C15" s="20"/>
      <c r="D15" s="20"/>
      <c r="E15" s="20"/>
      <c r="F15" s="20"/>
      <c r="K15" s="20"/>
    </row>
    <row r="16" ht="15.0" customHeight="1">
      <c r="A16" s="20"/>
      <c r="B16" s="20"/>
      <c r="C16" s="20"/>
      <c r="D16" s="20"/>
      <c r="E16" s="20"/>
      <c r="F16" s="20"/>
      <c r="K16" s="20"/>
    </row>
    <row r="17" ht="15.0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ht="15.0" customHeight="1">
      <c r="A18" s="20"/>
      <c r="B18" s="20"/>
      <c r="C18" s="20"/>
      <c r="D18" s="20"/>
      <c r="E18" s="20"/>
      <c r="F18" s="20"/>
      <c r="J18" s="20"/>
      <c r="K18" s="20"/>
    </row>
    <row r="19" ht="15.0" customHeight="1">
      <c r="A19" s="20"/>
      <c r="B19" s="20"/>
      <c r="C19" s="20"/>
      <c r="D19" s="20"/>
      <c r="E19" s="20"/>
      <c r="F19" s="20"/>
      <c r="J19" s="20"/>
      <c r="K19" s="20"/>
    </row>
    <row r="20" ht="15.0" customHeight="1">
      <c r="A20" s="20"/>
      <c r="B20" s="20"/>
      <c r="C20" s="20"/>
      <c r="D20" s="20"/>
      <c r="E20" s="20"/>
      <c r="F20" s="20"/>
      <c r="J20" s="20"/>
      <c r="K20" s="20"/>
    </row>
    <row r="21" ht="15.0" customHeight="1">
      <c r="A21" s="20"/>
      <c r="B21" s="20"/>
      <c r="C21" s="20"/>
      <c r="D21" s="20"/>
      <c r="E21" s="20"/>
      <c r="F21" s="20"/>
      <c r="J21" s="20"/>
      <c r="K21" s="20"/>
    </row>
    <row r="22" ht="15.0" customHeight="1">
      <c r="A22" s="51" t="s">
        <v>324</v>
      </c>
      <c r="B22" s="20"/>
      <c r="C22" s="20"/>
      <c r="D22" s="20"/>
      <c r="E22" s="20"/>
      <c r="F22" s="20"/>
      <c r="J22" s="20"/>
      <c r="K22" s="20"/>
    </row>
  </sheetData>
  <mergeCells count="4">
    <mergeCell ref="A1:B1"/>
    <mergeCell ref="C1:H1"/>
    <mergeCell ref="C4:E4"/>
    <mergeCell ref="C5:E7"/>
  </mergeCells>
  <printOptions/>
  <pageMargins bottom="0.787401575" footer="0.0" header="0.0" left="0.511811024" right="0.511811024" top="0.7874015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